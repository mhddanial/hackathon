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_segments" sheetId="1" r:id="rId5"/>
    <sheet state="visible" name="congestion_multipliers" sheetId="2" r:id="rId6"/>
    <sheet state="visible" name="ferry_schedules" sheetId="3" r:id="rId7"/>
    <sheet state="visible" name="research_sources" sheetId="4" r:id="rId8"/>
  </sheets>
  <definedNames/>
  <calcPr/>
</workbook>
</file>

<file path=xl/sharedStrings.xml><?xml version="1.0" encoding="utf-8"?>
<sst xmlns="http://schemas.openxmlformats.org/spreadsheetml/2006/main" count="394" uniqueCount="219">
  <si>
    <t>terminal_id</t>
  </si>
  <si>
    <t>segment_id</t>
  </si>
  <si>
    <t>source_id</t>
  </si>
  <si>
    <t>terminal</t>
  </si>
  <si>
    <t>terminal_name</t>
  </si>
  <si>
    <t>destination</t>
  </si>
  <si>
    <t>vessel_type</t>
  </si>
  <si>
    <t>departure_time</t>
  </si>
  <si>
    <t>cutoff_time</t>
  </si>
  <si>
    <t>cargo_capacity_tons</t>
  </si>
  <si>
    <t>day_type</t>
  </si>
  <si>
    <t>TM001</t>
  </si>
  <si>
    <t>hour_window</t>
  </si>
  <si>
    <t>hour_start</t>
  </si>
  <si>
    <t>hour_end</t>
  </si>
  <si>
    <t>multiplier</t>
  </si>
  <si>
    <t>category</t>
  </si>
  <si>
    <t>batu_ampar</t>
  </si>
  <si>
    <t>congestion_level</t>
  </si>
  <si>
    <t>Pelabuhan Batu Ampar</t>
  </si>
  <si>
    <t>Harbourfront Singapore</t>
  </si>
  <si>
    <t>description</t>
  </si>
  <si>
    <t>document_title</t>
  </si>
  <si>
    <t>Cargo Vessel / Intermodal</t>
  </si>
  <si>
    <t>institution_publisher</t>
  </si>
  <si>
    <t>section_id</t>
  </si>
  <si>
    <t>key_findings_data</t>
  </si>
  <si>
    <t>name</t>
  </si>
  <si>
    <t>reference_url</t>
  </si>
  <si>
    <t>corridor_type</t>
  </si>
  <si>
    <t>origin_name</t>
  </si>
  <si>
    <t>destination_name</t>
  </si>
  <si>
    <t>start_lat</t>
  </si>
  <si>
    <t>start_lng</t>
  </si>
  <si>
    <t>end_lat</t>
  </si>
  <si>
    <t>end_lng</t>
  </si>
  <si>
    <t>SRC001</t>
  </si>
  <si>
    <t>length_km</t>
  </si>
  <si>
    <t>typical_speed_kmh</t>
  </si>
  <si>
    <t>Traffic &amp; Environment</t>
  </si>
  <si>
    <t>SEG001</t>
  </si>
  <si>
    <t>Evaluasi Perubahan Kualitas Udara &amp; Kebisingan Angkutan Barang Jl. Yos Sudarso</t>
  </si>
  <si>
    <t>topic</t>
  </si>
  <si>
    <t>Jl. Yos Sudarso (Koridor Utama)</t>
  </si>
  <si>
    <t>Pure Journal UB &amp; Kyushu University Evergreen Journal (2024)</t>
  </si>
  <si>
    <t>industrial_arterial</t>
  </si>
  <si>
    <t>method_or_source</t>
  </si>
  <si>
    <t>TM002</t>
  </si>
  <si>
    <t>Kawasan Industri Mukakuning</t>
  </si>
  <si>
    <t>Volume truk &gt;70% jam sibuk, kebisingan capai 83,4 dB(A), emisi CO/SPM tinggi</t>
  </si>
  <si>
    <t>batam_center</t>
  </si>
  <si>
    <t>technical_explanation</t>
  </si>
  <si>
    <t>Batam Center Ferry Terminal</t>
  </si>
  <si>
    <t>Fast Ferry (Passenger/Hand-Carry)</t>
  </si>
  <si>
    <t>journal_or_reference</t>
  </si>
  <si>
    <t>t_name</t>
  </si>
  <si>
    <t>SEG002</t>
  </si>
  <si>
    <t>Jl. Jendral Sudirman</t>
  </si>
  <si>
    <t>distance_km</t>
  </si>
  <si>
    <t>urban_arterial</t>
  </si>
  <si>
    <t>Batam Center (Pusat Kota)</t>
  </si>
  <si>
    <t>free_flow_speed_kmh</t>
  </si>
  <si>
    <t>Kawasan Industri Sekupang</t>
  </si>
  <si>
    <r>
      <rPr>
        <rFont val="&quot;Google Sans Text&quot;, sans-serif !important"/>
        <color rgb="FF1155CC"/>
        <u/>
      </rPr>
      <t>https://purejournal.ub.ac.id/index.php/pure/article/download/465/380</t>
    </r>
  </si>
  <si>
    <t>SEG003</t>
  </si>
  <si>
    <t>Jl. Ahmad Yani</t>
  </si>
  <si>
    <t>Batamindo Industrial Park</t>
  </si>
  <si>
    <t>Batam Center</t>
  </si>
  <si>
    <t>actual_travel_time_mins</t>
  </si>
  <si>
    <t>idle_time_hours</t>
  </si>
  <si>
    <t>fuel_used_liters</t>
  </si>
  <si>
    <t>SEG004</t>
  </si>
  <si>
    <t>Jl. Brigjen Katamso</t>
  </si>
  <si>
    <t>Kawasan Industri Tanjung Uncang</t>
  </si>
  <si>
    <t>Pelabuhan Sekupang</t>
  </si>
  <si>
    <t>carbon_emission_kg_co2</t>
  </si>
  <si>
    <t>SEG005</t>
  </si>
  <si>
    <t>Jl. Trans Barelang (Segmen 1)</t>
  </si>
  <si>
    <t xml:space="preserve"> </t>
  </si>
  <si>
    <t>access_road</t>
  </si>
  <si>
    <t>Tembesi / Mukakuning</t>
  </si>
  <si>
    <t>Jembatan 1 Barelang</t>
  </si>
  <si>
    <t>SEG006</t>
  </si>
  <si>
    <t>Jl. Hang Jebat</t>
  </si>
  <si>
    <t>Bandara Hang Nadim</t>
  </si>
  <si>
    <t>weekday</t>
  </si>
  <si>
    <t>06:00-09:00</t>
  </si>
  <si>
    <t>HIGH</t>
  </si>
  <si>
    <t>Peak pagi: Penumpukan truk kontainer &amp; pekerja pabrik</t>
  </si>
  <si>
    <t>NOTE001</t>
  </si>
  <si>
    <t>Congestion Multiplier (Peak Hour)</t>
  </si>
  <si>
    <t>Calibration from Empirical Traffic Research</t>
  </si>
  <si>
    <t>Angka multiplier (1.50 - 2.10x) menggambarkan lonjakan waktu tempuh akibat kemacetan jam sibuk. Dikalibrasi dari studi empiris koridor logistik Batam di mana &gt;70% volume kendaraan jam sibuk adalah angkutan barang/truk kontainer.</t>
  </si>
  <si>
    <t>Pure Journal UB &amp; Kyushu Univ Evergreen Journal (2024)</t>
  </si>
  <si>
    <t>Tanah Merah Singapore</t>
  </si>
  <si>
    <t>Jl. Yos Sudarso (Peak Sore)</t>
  </si>
  <si>
    <t>TM003</t>
  </si>
  <si>
    <t>sekupang</t>
  </si>
  <si>
    <t>Sekupang Ferry Terminal</t>
  </si>
  <si>
    <t>SRC002</t>
  </si>
  <si>
    <t>Road Geometry &amp; Spatial</t>
  </si>
  <si>
    <t>Peraturan Wali Kota Batam No. 60 Tahun 2021 &amp; Batam Dalam Angka</t>
  </si>
  <si>
    <t>JDIH Kota Batam &amp; BPS Kota Batam</t>
  </si>
  <si>
    <t>Status Jl. Yos Sudarso sebagai Jalan Arteri Primer penghubung industri-pelabuhan</t>
  </si>
  <si>
    <t>https://jdih.batam.go.id/</t>
  </si>
  <si>
    <t>SRC003</t>
  </si>
  <si>
    <t>Logistics &amp; Supply Chain</t>
  </si>
  <si>
    <t>Laporan Inisiatif Logistik Intermodal Batam – Singapore</t>
  </si>
  <si>
    <t>BP Batam &amp; PT Pelindo Regional 1 Batu Ampar</t>
  </si>
  <si>
    <t>Koridor intermodal angkutan ~10 ton/hari kargo time-sensitive &amp; jam cut-off pelabuhan</t>
  </si>
  <si>
    <r>
      <rPr>
        <rFont val="&quot;Google Sans Text&quot;, sans-serif !important"/>
        <color rgb="FF1155CC"/>
        <u/>
      </rPr>
      <t>https://www.bpbatam.go.id/</t>
    </r>
  </si>
  <si>
    <t>09:00-15:00</t>
  </si>
  <si>
    <t>MEDIUM</t>
  </si>
  <si>
    <t>Jam operasional logistik normal</t>
  </si>
  <si>
    <t>NOTE002</t>
  </si>
  <si>
    <t>Congestion Multiplier (Weekend &amp; Off-Peak)</t>
  </si>
  <si>
    <t>Baseline Low-Traffic Assumption</t>
  </si>
  <si>
    <t>Arus weekend (multiplier 1.00 - 1.25x) dan malam hari (00:00-06:00) diasumsikan flat/lancar akibat berhentinya jam operasional utama pabrik kawasan industri Mukakuning &amp; Tanjung Uncang.</t>
  </si>
  <si>
    <t>Analisis Pola Pergerakan Logistik Industri Batam</t>
  </si>
  <si>
    <t>Jl. Jendral Sudirman (Peak Pagi)</t>
  </si>
  <si>
    <t>15:00-19:00</t>
  </si>
  <si>
    <t>SRC004</t>
  </si>
  <si>
    <t>Fast Ferry Operations</t>
  </si>
  <si>
    <t>Peak sore &amp; Cut-off kapal kargo Batu Ampar</t>
  </si>
  <si>
    <t>NOTE003</t>
  </si>
  <si>
    <t>Official Schedule Batam Fast, Sindo Ferry, &amp; Majestic Fast Ferry</t>
  </si>
  <si>
    <t>Road Segment Coordinates (Lat/Lng)</t>
  </si>
  <si>
    <t>Operator Ferry Batam-Singapore</t>
  </si>
  <si>
    <t>Real-world GIS &amp; Google Maps API</t>
  </si>
  <si>
    <t>Titik koordinat awal (start) dan akhir (end) tiap segmen diambil dari gerbang arteri utama dan dermaga pelabuhan real di Batam (misal: Dermaga Selatan Batu Ampar 1.165051, 103.998727).</t>
  </si>
  <si>
    <t>Timetable penyeberangan penumpang &amp; fast freight dari Batam Center/Sekupang[cite: 1, 2]</t>
  </si>
  <si>
    <t>Google Maps Platform &amp; Batam Spatial Planning (Perwako No. 60/2021)</t>
  </si>
  <si>
    <t>Jl. Ahmad Yani (Off-Peak)</t>
  </si>
  <si>
    <r>
      <rPr>
        <rFont val="&quot;Google Sans Text&quot;, sans-serif !important"/>
        <color rgb="FF1155CC"/>
        <u/>
      </rPr>
      <t>https://www.batamfast.com/</t>
    </r>
  </si>
  <si>
    <t>19:00-06:00</t>
  </si>
  <si>
    <t>LOW</t>
  </si>
  <si>
    <t>Arus lalu lintas lancar (off-peak)</t>
  </si>
  <si>
    <t>NOTE004</t>
  </si>
  <si>
    <t>Carbon Emission Factor</t>
  </si>
  <si>
    <t>IPCC Standard Guidelines</t>
  </si>
  <si>
    <t>Perhitungan emisi berbasis faktor emisi standar pembakaran diesel: 2.68 kg CO2 per liter BBM. Idling saat macet meningkatkan konsumsi BBM truk 2.0 - 2.5 L/jam.</t>
  </si>
  <si>
    <t>2006 IPCC Guidelines for National Greenhouse Gas Inventories &amp; Ditjen EBTKE ESDM</t>
  </si>
  <si>
    <t>weekend</t>
  </si>
  <si>
    <t>00:00-24:00</t>
  </si>
  <si>
    <t>Akhir pekan: Aktivitas pabrik minimal, koridor lancar</t>
  </si>
  <si>
    <t>NOTE005</t>
  </si>
  <si>
    <t>Ferry Timetables &amp; Cut-off</t>
  </si>
  <si>
    <t>Consolidated Official Operator Schedules</t>
  </si>
  <si>
    <t>Jam keberangkatan dan waktu cut-off gate-in pelabuhan disesuaikan dengan jadwal harian publik kapal kargo/intermodal dan fast ferry rute Batam–Singapore.</t>
  </si>
  <si>
    <t>Official Timetables: BatamFast, Sindo Ferry, Majestic, &amp; BP Batam Port Operations</t>
  </si>
  <si>
    <t>NOTE: (Interactive Simulation Table)</t>
  </si>
  <si>
    <t>SRC005</t>
  </si>
  <si>
    <t>2006 IPCC Guidelines for National Greenhouse Gas Inventories (Mobile Combustion)</t>
  </si>
  <si>
    <t>IPCC (Intergovernmental Panel on Climate Change)</t>
  </si>
  <si>
    <t>06:30-08:30</t>
  </si>
  <si>
    <t>Faktor emisi solar/diesel standar $2.68\text{ kg CO}_2\text{ per liter}$</t>
  </si>
  <si>
    <r>
      <rPr>
        <rFont val="&quot;Google Sans Text&quot;, sans-serif !important"/>
        <color rgb="FF1155CC"/>
        <u/>
      </rPr>
      <t>https://www.ipcc-nggip.iges.or.jp/public/2006gl/pdf/2_Volume2/V2_3_Ch3_Mobile_Combustion.pdf</t>
    </r>
  </si>
  <si>
    <t>Padat kendaraan pribadi &amp; angkutan umum</t>
  </si>
  <si>
    <t>NOTE006</t>
  </si>
  <si>
    <t>Formula Waktu Tempuh Riil</t>
  </si>
  <si>
    <t>Dynamic Travel Time Equation</t>
  </si>
  <si>
    <t>T_actual = T_base * Multiplier. Di mana T_base = (Distance / Free_Flow_Speed) * 60 menit.</t>
  </si>
  <si>
    <t>Transportation Research Board &amp; Route Optimization Standard</t>
  </si>
  <si>
    <t>08:30-16:30</t>
  </si>
  <si>
    <t>Arus perkotaan sedang</t>
  </si>
  <si>
    <t>NOTE007</t>
  </si>
  <si>
    <t>Formula Emisi Karbon (CO2)</t>
  </si>
  <si>
    <t>IPCC Mobile Fuel Combustion Model</t>
  </si>
  <si>
    <t>Carbon_Emission = Total_Fuel_Liters * 2.68 kg CO2/L. Di mana Total_Fuel = (Distance * 0.25 L/km) + (Idle_Hours * 2.25 L/jam).</t>
  </si>
  <si>
    <t>2006 IPCC Guidelines (Vol 2: Mobile Combustion) &amp; Ditjen EBTKE ESDM</t>
  </si>
  <si>
    <t>16:30-18:30</t>
  </si>
  <si>
    <t>Padat jam pulang kantor</t>
  </si>
  <si>
    <t>18:30-06:30</t>
  </si>
  <si>
    <t>Lancar (malam &amp; dini hari)</t>
  </si>
  <si>
    <t>NOTE:</t>
  </si>
  <si>
    <t>Akhir pekan: Lalu lintas warga ke pusat perbelanjaan</t>
  </si>
  <si>
    <t>📌 Methodology &amp; Data Reference Summary</t>
  </si>
  <si>
    <t>Arus keluar-masuk Batamindo</t>
  </si>
  <si>
    <t>SRC006</t>
  </si>
  <si>
    <t>Fuel Consumption Rate</t>
  </si>
  <si>
    <t>Studi Konsumsi BBM &amp; Kemacetan Truk Logistik Diesel</t>
  </si>
  <si>
    <t>Ditjen EBTKE Kementerian ESDM RI</t>
  </si>
  <si>
    <t>Konsumsi BBM idling truk $2.0 - 2.5\text{ Liter/Jam}$, emisi naik hingga 65% saat stop-and-go</t>
  </si>
  <si>
    <r>
      <rPr>
        <rFont val="&quot;Google Sans Text&quot;, sans-serif !important"/>
        <color rgb="FF1155CC"/>
        <u/>
      </rPr>
      <t>https://ebtke.esdm.go.id/</t>
    </r>
  </si>
  <si>
    <t>Logistik kawasan sedang</t>
  </si>
  <si>
    <t>NOTE001 &amp; NOTE002 — Congestion Multipliers ($1.00\times - 2.10\times$):</t>
  </si>
  <si>
    <t>Arus pertukaran shift kerja</t>
  </si>
  <si>
    <t>Arus kawasan industri sepi (off-peak)</t>
  </si>
  <si>
    <t>Source: Empirical traffic study on Batam's freight corridors (UB Pure Journal &amp; Kyushu Univ, 2024).</t>
  </si>
  <si>
    <t>Akhir pekan: Operasional Batamindo minimal</t>
  </si>
  <si>
    <t>06:00-15:00</t>
  </si>
  <si>
    <t>Logistik galangan normal</t>
  </si>
  <si>
    <t>Insight: Heavy trucks account for $&gt;70\%$ of peak-hour volume. Peak multipliers ($1.85 - 2.10\times$) account for logistics stop-and-go delays, while weekends and off-peak hours remain flat ($1.00 - 1.25\times$).</t>
  </si>
  <si>
    <t>15:00-18:00</t>
  </si>
  <si>
    <t>Penumpukan heavy transport industri galangan</t>
  </si>
  <si>
    <t>18:00-06:00</t>
  </si>
  <si>
    <t>Arus Tanjung Uncang lancar</t>
  </si>
  <si>
    <t>NOTE003 — Road Segment Coordinates (GIS / Lat-Lng):</t>
  </si>
  <si>
    <t>Akhir pekan: Aktivitas galangan libur</t>
  </si>
  <si>
    <t>Akses Barelang hari kerja lancar</t>
  </si>
  <si>
    <t>Source: Google Maps API &amp; Batam Spatial Plan (Perwako No. 60/2021).</t>
  </si>
  <si>
    <t>08:00-17:00</t>
  </si>
  <si>
    <t>Akhir pekan: Pergerakan wisata Barelang</t>
  </si>
  <si>
    <t>17:00-08:00</t>
  </si>
  <si>
    <t>Akhir pekan malam hari lancar</t>
  </si>
  <si>
    <t>Insight: High-precision start and end coordinates mapped directly to main industrial gates and port terminals (e.g., Batu Ampar South Pier: 1.165051, 103.998727).</t>
  </si>
  <si>
    <t>06:00-18:00</t>
  </si>
  <si>
    <t>Arus Bandara Hang Nadim normal</t>
  </si>
  <si>
    <t>Arus Bandara malam hari sepi</t>
  </si>
  <si>
    <t>NOTE004 — Carbon Emission Factor ($2.68\text{ kg CO}_2/\text{L}$):</t>
  </si>
  <si>
    <t>Arus akhir pekan ke Bandara lancar</t>
  </si>
  <si>
    <t>Source: 2006 IPCC Guidelines for National Greenhouse Gas Inventories &amp; Ministry of Energy (ESDM RI).</t>
  </si>
  <si>
    <t>Insight: Standard diesel emission factor. Traffic idling consumes $2.0 - 2.5\text{ L/hr}$, increasing total trip emissions by up to $65\%$.</t>
  </si>
  <si>
    <t>NOTE005 — Ferry &amp; Cargo Timetables:</t>
  </si>
  <si>
    <t>Source: Official timetables from BatamFast, Sindo Ferry, Majestic, and BP Batam Port Logistics.</t>
  </si>
  <si>
    <t>Insight: Real daily vessel departure times and strict port gate-in cut-off limits.</t>
  </si>
  <si>
    <t>NOTE006 &amp; NOTE007 — Mathematical Equations:</t>
  </si>
  <si>
    <t>Actual Travel Time: $\text{T}_{\text{actual}} = \left(\frac{\text{Distance}}{\text{Free Flow Speed}}\right) \times \text{Multiplier} \times 60\text{ mins}$</t>
  </si>
  <si>
    <t>Carbon Emission: $\text{Emission (kg CO}_2) = \left[(\text{Distance} \times 0.25\text{ L/km}) + (\text{Idle Hours} \times 2.25\text{ L/hr})\right] \times 2.68$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</si>
</sst>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0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rgb="FFFFFFFF"/>
      <name val="&quot;Google Sans Text&quot;"/>
    </font>
    <font>
      <color theme="1"/>
      <name val="Arial"/>
      <scheme val="minor"/>
    </font>
    <font>
      <u/>
      <color rgb="FF0000FF"/>
      <name val="&quot;Google Sans Text&quot;"/>
    </font>
    <font>
      <u/>
      <color rgb="FF0000FF"/>
      <name val="Arial"/>
    </font>
    <font>
      <b/>
      <color theme="1"/>
      <name val="Arial"/>
      <scheme val="minor"/>
    </font>
    <font>
      <b/>
      <sz val="18.0"/>
      <color theme="1"/>
      <name val="&quot;Google Sans&quot;"/>
    </font>
    <font>
      <b/>
      <sz val="18.0"/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Border="1" applyFont="1"/>
    <xf borderId="1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urejournal.ub.ac.id/index.php/pure/article/download/465/380" TargetMode="External"/><Relationship Id="rId2" Type="http://schemas.openxmlformats.org/officeDocument/2006/relationships/hyperlink" Target="https://jdih.batam.go.id/" TargetMode="External"/><Relationship Id="rId3" Type="http://schemas.openxmlformats.org/officeDocument/2006/relationships/hyperlink" Target="https://www.google.com/search?q=https://www.bpbatam.go.id/" TargetMode="External"/><Relationship Id="rId4" Type="http://schemas.openxmlformats.org/officeDocument/2006/relationships/hyperlink" Target="https://www.batamfast.com/" TargetMode="External"/><Relationship Id="rId5" Type="http://schemas.openxmlformats.org/officeDocument/2006/relationships/hyperlink" Target="https://www.google.com/search?q=https://www.ipcc-nggip.iges.or.jp/public/2006gl/pdf/2_Volume2/V2_3_Ch3_Mobile_Combustion.pdf" TargetMode="External"/><Relationship Id="rId6" Type="http://schemas.openxmlformats.org/officeDocument/2006/relationships/hyperlink" Target="https://ebtke.esdm.go.id/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4.88"/>
    <col customWidth="1" min="3" max="3" width="14.13"/>
    <col customWidth="1" min="4" max="4" width="26.38"/>
    <col customWidth="1" min="5" max="5" width="21.75"/>
    <col customWidth="1" min="6" max="6" width="7.13"/>
    <col customWidth="1" min="7" max="7" width="8.13"/>
    <col customWidth="1" min="8" max="8" width="6.5"/>
    <col customWidth="1" min="9" max="9" width="8.25"/>
    <col customWidth="1" min="10" max="10" width="8.75"/>
    <col customWidth="1" min="11" max="11" width="15.5"/>
  </cols>
  <sheetData>
    <row r="1">
      <c r="A1" s="1" t="s">
        <v>1</v>
      </c>
      <c r="B1" s="1" t="s">
        <v>27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37</v>
      </c>
      <c r="K1" s="1" t="s">
        <v>38</v>
      </c>
    </row>
    <row r="2">
      <c r="A2" s="3" t="s">
        <v>40</v>
      </c>
      <c r="B2" s="3" t="s">
        <v>43</v>
      </c>
      <c r="C2" s="3" t="s">
        <v>45</v>
      </c>
      <c r="D2" s="3" t="s">
        <v>48</v>
      </c>
      <c r="E2" s="3" t="s">
        <v>19</v>
      </c>
      <c r="F2" s="3">
        <v>1.0371</v>
      </c>
      <c r="G2" s="3">
        <v>104.0485</v>
      </c>
      <c r="H2" s="3">
        <v>1.1565</v>
      </c>
      <c r="I2" s="3">
        <v>104.0048</v>
      </c>
      <c r="J2" s="3">
        <v>15.2</v>
      </c>
      <c r="K2" s="3">
        <v>35.0</v>
      </c>
    </row>
    <row r="3">
      <c r="A3" s="3" t="s">
        <v>56</v>
      </c>
      <c r="B3" s="3" t="s">
        <v>57</v>
      </c>
      <c r="C3" s="3" t="s">
        <v>59</v>
      </c>
      <c r="D3" s="3" t="s">
        <v>60</v>
      </c>
      <c r="E3" s="3" t="s">
        <v>62</v>
      </c>
      <c r="F3" s="3">
        <v>1.1293</v>
      </c>
      <c r="G3" s="3">
        <v>104.0538</v>
      </c>
      <c r="H3" s="3">
        <v>1.1158</v>
      </c>
      <c r="I3" s="3">
        <v>103.9351</v>
      </c>
      <c r="J3" s="3">
        <v>14.5</v>
      </c>
      <c r="K3" s="3">
        <v>45.0</v>
      </c>
    </row>
    <row r="4">
      <c r="A4" s="3" t="s">
        <v>64</v>
      </c>
      <c r="B4" s="3" t="s">
        <v>65</v>
      </c>
      <c r="C4" s="3" t="s">
        <v>45</v>
      </c>
      <c r="D4" s="3" t="s">
        <v>66</v>
      </c>
      <c r="E4" s="3" t="s">
        <v>67</v>
      </c>
      <c r="F4" s="3">
        <v>1.0841</v>
      </c>
      <c r="G4" s="3">
        <v>104.0321</v>
      </c>
      <c r="H4" s="3">
        <v>1.1293</v>
      </c>
      <c r="I4" s="3">
        <v>104.0538</v>
      </c>
      <c r="J4" s="3">
        <v>6.8</v>
      </c>
      <c r="K4" s="3">
        <v>40.0</v>
      </c>
    </row>
    <row r="5">
      <c r="A5" s="3" t="s">
        <v>71</v>
      </c>
      <c r="B5" s="3" t="s">
        <v>72</v>
      </c>
      <c r="C5" s="3" t="s">
        <v>45</v>
      </c>
      <c r="D5" s="3" t="s">
        <v>73</v>
      </c>
      <c r="E5" s="3" t="s">
        <v>74</v>
      </c>
      <c r="F5" s="3">
        <v>1.0494</v>
      </c>
      <c r="G5" s="3">
        <v>103.9582</v>
      </c>
      <c r="H5" s="3">
        <v>1.1158</v>
      </c>
      <c r="I5" s="3">
        <v>103.9351</v>
      </c>
      <c r="J5" s="3">
        <v>11.2</v>
      </c>
      <c r="K5" s="3">
        <v>30.0</v>
      </c>
    </row>
    <row r="6">
      <c r="A6" s="3" t="s">
        <v>76</v>
      </c>
      <c r="B6" s="3" t="s">
        <v>77</v>
      </c>
      <c r="C6" s="3" t="s">
        <v>79</v>
      </c>
      <c r="D6" s="3" t="s">
        <v>80</v>
      </c>
      <c r="E6" s="3" t="s">
        <v>81</v>
      </c>
      <c r="F6" s="3">
        <v>1.045</v>
      </c>
      <c r="G6" s="3">
        <v>104.035</v>
      </c>
      <c r="H6" s="3">
        <v>0.9822</v>
      </c>
      <c r="I6" s="3">
        <v>104.0425</v>
      </c>
      <c r="J6" s="3">
        <v>8.5</v>
      </c>
      <c r="K6" s="3">
        <v>50.0</v>
      </c>
    </row>
    <row r="7">
      <c r="A7" s="3" t="s">
        <v>82</v>
      </c>
      <c r="B7" s="3" t="s">
        <v>83</v>
      </c>
      <c r="C7" s="3" t="s">
        <v>59</v>
      </c>
      <c r="D7" s="3" t="s">
        <v>84</v>
      </c>
      <c r="E7" s="3" t="s">
        <v>19</v>
      </c>
      <c r="F7" s="3">
        <v>1.1211</v>
      </c>
      <c r="G7" s="3">
        <v>104.1147</v>
      </c>
      <c r="H7" s="3">
        <v>1.1565</v>
      </c>
      <c r="I7" s="3">
        <v>104.0048</v>
      </c>
      <c r="J7" s="3">
        <v>16.8</v>
      </c>
      <c r="K7" s="3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38"/>
    <col customWidth="1" min="3" max="3" width="11.63"/>
    <col customWidth="1" min="4" max="4" width="9.38"/>
    <col customWidth="1" min="5" max="5" width="8.63"/>
    <col customWidth="1" min="6" max="6" width="8.75"/>
    <col customWidth="1" min="7" max="7" width="14.63"/>
    <col customWidth="1" min="8" max="8" width="42.5"/>
    <col customWidth="1" min="12" max="12" width="34.5"/>
    <col customWidth="1" min="13" max="13" width="33.13"/>
    <col customWidth="1" min="14" max="14" width="177.0"/>
    <col customWidth="1" min="15" max="15" width="65.13"/>
    <col customWidth="1" min="18" max="18" width="25.25"/>
    <col customWidth="1" min="19" max="19" width="10.38"/>
    <col customWidth="1" min="20" max="20" width="17.38"/>
    <col customWidth="1" min="21" max="21" width="8.0"/>
    <col customWidth="1" min="22" max="22" width="18.88"/>
    <col customWidth="1" min="23" max="24" width="12.75"/>
    <col customWidth="1" min="25" max="25" width="19.88"/>
  </cols>
  <sheetData>
    <row r="1">
      <c r="A1" s="2" t="s">
        <v>1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18</v>
      </c>
      <c r="H1" s="2" t="s">
        <v>21</v>
      </c>
      <c r="K1" s="5" t="s">
        <v>25</v>
      </c>
      <c r="L1" s="5" t="s">
        <v>42</v>
      </c>
      <c r="M1" s="5" t="s">
        <v>46</v>
      </c>
      <c r="N1" s="5" t="s">
        <v>51</v>
      </c>
      <c r="O1" s="5" t="s">
        <v>54</v>
      </c>
      <c r="R1" s="5" t="s">
        <v>55</v>
      </c>
      <c r="S1" s="5" t="s">
        <v>58</v>
      </c>
      <c r="T1" s="5" t="s">
        <v>61</v>
      </c>
      <c r="U1" s="5" t="s">
        <v>15</v>
      </c>
      <c r="V1" s="5" t="s">
        <v>68</v>
      </c>
      <c r="W1" s="5" t="s">
        <v>69</v>
      </c>
      <c r="X1" s="5" t="s">
        <v>70</v>
      </c>
      <c r="Y1" s="5" t="s">
        <v>75</v>
      </c>
    </row>
    <row r="2">
      <c r="A2" s="7" t="s">
        <v>40</v>
      </c>
      <c r="B2" s="7" t="s">
        <v>85</v>
      </c>
      <c r="C2" s="7" t="s">
        <v>86</v>
      </c>
      <c r="D2" s="7">
        <v>6.0</v>
      </c>
      <c r="E2" s="7">
        <v>9.0</v>
      </c>
      <c r="F2" s="7">
        <v>1.85</v>
      </c>
      <c r="G2" s="7" t="s">
        <v>87</v>
      </c>
      <c r="H2" s="7" t="s">
        <v>88</v>
      </c>
      <c r="K2" s="3" t="s">
        <v>89</v>
      </c>
      <c r="L2" s="3" t="s">
        <v>90</v>
      </c>
      <c r="M2" s="3" t="s">
        <v>91</v>
      </c>
      <c r="N2" s="3" t="s">
        <v>92</v>
      </c>
      <c r="O2" s="3" t="s">
        <v>93</v>
      </c>
      <c r="R2" s="3" t="s">
        <v>95</v>
      </c>
      <c r="S2" s="3">
        <v>12.5</v>
      </c>
      <c r="T2" s="3">
        <v>40.0</v>
      </c>
      <c r="U2" s="3">
        <v>2.1</v>
      </c>
      <c r="V2" s="9">
        <f t="shared" ref="V2:V4" si="1">ROUND((S2/T2)*U2*60, 1)</f>
        <v>39.4</v>
      </c>
      <c r="W2" s="9">
        <f t="shared" ref="W2:W4" si="2">ROUND((V2 - (S2/T2)*60)/60, 2)</f>
        <v>0.34</v>
      </c>
      <c r="X2" s="9">
        <f t="shared" ref="X2:X4" si="3">ROUND((S2 * 0.25) + (W2 * 2.25), 2)</f>
        <v>3.89</v>
      </c>
      <c r="Y2" s="9">
        <f t="shared" ref="Y2:Y4" si="4">ROUND(X2 * 2.68, 2)</f>
        <v>10.43</v>
      </c>
    </row>
    <row r="3">
      <c r="A3" s="7" t="s">
        <v>40</v>
      </c>
      <c r="B3" s="7" t="s">
        <v>85</v>
      </c>
      <c r="C3" s="7" t="s">
        <v>111</v>
      </c>
      <c r="D3" s="7">
        <v>9.0</v>
      </c>
      <c r="E3" s="7">
        <v>15.0</v>
      </c>
      <c r="F3" s="7">
        <v>1.2</v>
      </c>
      <c r="G3" s="7" t="s">
        <v>112</v>
      </c>
      <c r="H3" s="7" t="s">
        <v>113</v>
      </c>
      <c r="K3" s="3" t="s">
        <v>114</v>
      </c>
      <c r="L3" s="3" t="s">
        <v>115</v>
      </c>
      <c r="M3" s="3" t="s">
        <v>116</v>
      </c>
      <c r="N3" s="3" t="s">
        <v>117</v>
      </c>
      <c r="O3" s="3" t="s">
        <v>118</v>
      </c>
      <c r="R3" s="3" t="s">
        <v>119</v>
      </c>
      <c r="S3" s="3">
        <v>8.2</v>
      </c>
      <c r="T3" s="3">
        <v>45.0</v>
      </c>
      <c r="U3" s="3">
        <v>1.5</v>
      </c>
      <c r="V3" s="9">
        <f t="shared" si="1"/>
        <v>16.4</v>
      </c>
      <c r="W3" s="9">
        <f t="shared" si="2"/>
        <v>0.09</v>
      </c>
      <c r="X3" s="9">
        <f t="shared" si="3"/>
        <v>2.25</v>
      </c>
      <c r="Y3" s="9">
        <f t="shared" si="4"/>
        <v>6.03</v>
      </c>
    </row>
    <row r="4">
      <c r="A4" s="7" t="s">
        <v>40</v>
      </c>
      <c r="B4" s="7" t="s">
        <v>85</v>
      </c>
      <c r="C4" s="7" t="s">
        <v>120</v>
      </c>
      <c r="D4" s="7">
        <v>15.0</v>
      </c>
      <c r="E4" s="7">
        <v>19.0</v>
      </c>
      <c r="F4" s="7">
        <v>2.1</v>
      </c>
      <c r="G4" s="7" t="s">
        <v>87</v>
      </c>
      <c r="H4" s="7" t="s">
        <v>123</v>
      </c>
      <c r="K4" s="3" t="s">
        <v>124</v>
      </c>
      <c r="L4" s="3" t="s">
        <v>126</v>
      </c>
      <c r="M4" s="3" t="s">
        <v>128</v>
      </c>
      <c r="N4" s="3" t="s">
        <v>129</v>
      </c>
      <c r="O4" s="3" t="s">
        <v>131</v>
      </c>
      <c r="R4" s="3" t="s">
        <v>132</v>
      </c>
      <c r="S4" s="3">
        <v>6.4</v>
      </c>
      <c r="T4" s="3">
        <v>50.0</v>
      </c>
      <c r="U4" s="3">
        <v>1.15</v>
      </c>
      <c r="V4" s="9">
        <f t="shared" si="1"/>
        <v>8.8</v>
      </c>
      <c r="W4" s="9">
        <f t="shared" si="2"/>
        <v>0.02</v>
      </c>
      <c r="X4" s="9">
        <f t="shared" si="3"/>
        <v>1.65</v>
      </c>
      <c r="Y4" s="9">
        <f t="shared" si="4"/>
        <v>4.42</v>
      </c>
    </row>
    <row r="5">
      <c r="A5" s="7" t="s">
        <v>40</v>
      </c>
      <c r="B5" s="7" t="s">
        <v>85</v>
      </c>
      <c r="C5" s="7" t="s">
        <v>134</v>
      </c>
      <c r="D5" s="7">
        <v>19.0</v>
      </c>
      <c r="E5" s="7">
        <v>6.0</v>
      </c>
      <c r="F5" s="7">
        <v>1.0</v>
      </c>
      <c r="G5" s="7" t="s">
        <v>135</v>
      </c>
      <c r="H5" s="7" t="s">
        <v>136</v>
      </c>
      <c r="K5" s="3" t="s">
        <v>137</v>
      </c>
      <c r="L5" s="3" t="s">
        <v>138</v>
      </c>
      <c r="M5" s="3" t="s">
        <v>139</v>
      </c>
      <c r="N5" s="3" t="s">
        <v>140</v>
      </c>
      <c r="O5" s="3" t="s">
        <v>141</v>
      </c>
    </row>
    <row r="6">
      <c r="A6" s="7" t="s">
        <v>40</v>
      </c>
      <c r="B6" s="7" t="s">
        <v>142</v>
      </c>
      <c r="C6" s="7" t="s">
        <v>143</v>
      </c>
      <c r="D6" s="7">
        <v>0.0</v>
      </c>
      <c r="E6" s="7">
        <v>24.0</v>
      </c>
      <c r="F6" s="7">
        <v>1.1</v>
      </c>
      <c r="G6" s="7" t="s">
        <v>135</v>
      </c>
      <c r="H6" s="7" t="s">
        <v>144</v>
      </c>
      <c r="K6" s="3" t="s">
        <v>145</v>
      </c>
      <c r="L6" s="3" t="s">
        <v>146</v>
      </c>
      <c r="M6" s="3" t="s">
        <v>147</v>
      </c>
      <c r="N6" s="3" t="s">
        <v>148</v>
      </c>
      <c r="O6" s="3" t="s">
        <v>149</v>
      </c>
      <c r="R6" s="11" t="s">
        <v>150</v>
      </c>
    </row>
    <row r="7">
      <c r="A7" s="7" t="s">
        <v>56</v>
      </c>
      <c r="B7" s="7" t="s">
        <v>85</v>
      </c>
      <c r="C7" s="7" t="s">
        <v>154</v>
      </c>
      <c r="D7" s="7">
        <v>6.0</v>
      </c>
      <c r="E7" s="7">
        <v>8.0</v>
      </c>
      <c r="F7" s="7">
        <v>1.5</v>
      </c>
      <c r="G7" s="7" t="s">
        <v>87</v>
      </c>
      <c r="H7" s="7" t="s">
        <v>157</v>
      </c>
      <c r="K7" s="3" t="s">
        <v>158</v>
      </c>
      <c r="L7" s="3" t="s">
        <v>159</v>
      </c>
      <c r="M7" s="3" t="s">
        <v>160</v>
      </c>
      <c r="N7" s="3" t="s">
        <v>161</v>
      </c>
      <c r="O7" s="3" t="s">
        <v>162</v>
      </c>
    </row>
    <row r="8">
      <c r="A8" s="7" t="s">
        <v>56</v>
      </c>
      <c r="B8" s="7" t="s">
        <v>85</v>
      </c>
      <c r="C8" s="7" t="s">
        <v>163</v>
      </c>
      <c r="D8" s="7">
        <v>8.0</v>
      </c>
      <c r="E8" s="7">
        <v>16.0</v>
      </c>
      <c r="F8" s="7">
        <v>1.2</v>
      </c>
      <c r="G8" s="7" t="s">
        <v>112</v>
      </c>
      <c r="H8" s="7" t="s">
        <v>164</v>
      </c>
      <c r="K8" s="3" t="s">
        <v>165</v>
      </c>
      <c r="L8" s="3" t="s">
        <v>166</v>
      </c>
      <c r="M8" s="3" t="s">
        <v>167</v>
      </c>
      <c r="N8" s="3" t="s">
        <v>168</v>
      </c>
      <c r="O8" s="3" t="s">
        <v>169</v>
      </c>
    </row>
    <row r="9">
      <c r="A9" s="7" t="s">
        <v>56</v>
      </c>
      <c r="B9" s="7" t="s">
        <v>85</v>
      </c>
      <c r="C9" s="7" t="s">
        <v>170</v>
      </c>
      <c r="D9" s="7">
        <v>16.0</v>
      </c>
      <c r="E9" s="7">
        <v>18.0</v>
      </c>
      <c r="F9" s="7">
        <v>1.6</v>
      </c>
      <c r="G9" s="7" t="s">
        <v>87</v>
      </c>
      <c r="H9" s="7" t="s">
        <v>171</v>
      </c>
    </row>
    <row r="10">
      <c r="A10" s="7" t="s">
        <v>56</v>
      </c>
      <c r="B10" s="7" t="s">
        <v>85</v>
      </c>
      <c r="C10" s="7" t="s">
        <v>172</v>
      </c>
      <c r="D10" s="7">
        <v>18.0</v>
      </c>
      <c r="E10" s="7">
        <v>6.0</v>
      </c>
      <c r="F10" s="7">
        <v>1.0</v>
      </c>
      <c r="G10" s="7" t="s">
        <v>135</v>
      </c>
      <c r="H10" s="7" t="s">
        <v>173</v>
      </c>
      <c r="K10" s="6" t="s">
        <v>174</v>
      </c>
    </row>
    <row r="11">
      <c r="A11" s="7" t="s">
        <v>56</v>
      </c>
      <c r="B11" s="7" t="s">
        <v>142</v>
      </c>
      <c r="C11" s="7" t="s">
        <v>143</v>
      </c>
      <c r="D11" s="7">
        <v>0.0</v>
      </c>
      <c r="E11" s="7">
        <v>24.0</v>
      </c>
      <c r="F11" s="7">
        <v>1.25</v>
      </c>
      <c r="G11" s="7" t="s">
        <v>135</v>
      </c>
      <c r="H11" s="7" t="s">
        <v>175</v>
      </c>
      <c r="K11" s="12" t="s">
        <v>176</v>
      </c>
    </row>
    <row r="12">
      <c r="A12" s="7" t="s">
        <v>64</v>
      </c>
      <c r="B12" s="7" t="s">
        <v>85</v>
      </c>
      <c r="C12" s="7" t="s">
        <v>154</v>
      </c>
      <c r="D12" s="7">
        <v>6.0</v>
      </c>
      <c r="E12" s="7">
        <v>8.0</v>
      </c>
      <c r="F12" s="7">
        <v>1.7</v>
      </c>
      <c r="G12" s="7" t="s">
        <v>87</v>
      </c>
      <c r="H12" s="7" t="s">
        <v>177</v>
      </c>
      <c r="K12" s="13"/>
    </row>
    <row r="13">
      <c r="A13" s="7" t="s">
        <v>64</v>
      </c>
      <c r="B13" s="7" t="s">
        <v>85</v>
      </c>
      <c r="C13" s="7" t="s">
        <v>163</v>
      </c>
      <c r="D13" s="7">
        <v>8.0</v>
      </c>
      <c r="E13" s="7">
        <v>16.0</v>
      </c>
      <c r="F13" s="7">
        <v>1.15</v>
      </c>
      <c r="G13" s="7" t="s">
        <v>135</v>
      </c>
      <c r="H13" s="7" t="s">
        <v>184</v>
      </c>
      <c r="K13" s="14" t="s">
        <v>185</v>
      </c>
    </row>
    <row r="14">
      <c r="A14" s="7" t="s">
        <v>64</v>
      </c>
      <c r="B14" s="7" t="s">
        <v>85</v>
      </c>
      <c r="C14" s="7" t="s">
        <v>170</v>
      </c>
      <c r="D14" s="7">
        <v>16.0</v>
      </c>
      <c r="E14" s="7">
        <v>18.0</v>
      </c>
      <c r="F14" s="7">
        <v>1.75</v>
      </c>
      <c r="G14" s="7" t="s">
        <v>87</v>
      </c>
      <c r="H14" s="7" t="s">
        <v>186</v>
      </c>
      <c r="K14" s="13"/>
    </row>
    <row r="15">
      <c r="A15" s="7" t="s">
        <v>64</v>
      </c>
      <c r="B15" s="7" t="s">
        <v>85</v>
      </c>
      <c r="C15" s="7" t="s">
        <v>172</v>
      </c>
      <c r="D15" s="7">
        <v>18.0</v>
      </c>
      <c r="E15" s="7">
        <v>6.0</v>
      </c>
      <c r="F15" s="7">
        <v>1.0</v>
      </c>
      <c r="G15" s="7" t="s">
        <v>135</v>
      </c>
      <c r="H15" s="7" t="s">
        <v>187</v>
      </c>
      <c r="K15" s="14" t="s">
        <v>188</v>
      </c>
    </row>
    <row r="16">
      <c r="A16" s="7" t="s">
        <v>64</v>
      </c>
      <c r="B16" s="7" t="s">
        <v>142</v>
      </c>
      <c r="C16" s="7" t="s">
        <v>143</v>
      </c>
      <c r="D16" s="7">
        <v>0.0</v>
      </c>
      <c r="E16" s="7">
        <v>24.0</v>
      </c>
      <c r="F16" s="7">
        <v>1.05</v>
      </c>
      <c r="G16" s="7" t="s">
        <v>135</v>
      </c>
      <c r="H16" s="7" t="s">
        <v>189</v>
      </c>
      <c r="K16" s="13"/>
    </row>
    <row r="17">
      <c r="A17" s="7" t="s">
        <v>71</v>
      </c>
      <c r="B17" s="7" t="s">
        <v>85</v>
      </c>
      <c r="C17" s="7" t="s">
        <v>190</v>
      </c>
      <c r="D17" s="7">
        <v>6.0</v>
      </c>
      <c r="E17" s="7">
        <v>15.0</v>
      </c>
      <c r="F17" s="7">
        <v>1.15</v>
      </c>
      <c r="G17" s="7" t="s">
        <v>135</v>
      </c>
      <c r="H17" s="7" t="s">
        <v>191</v>
      </c>
      <c r="K17" s="14" t="s">
        <v>192</v>
      </c>
    </row>
    <row r="18">
      <c r="A18" s="7" t="s">
        <v>71</v>
      </c>
      <c r="B18" s="7" t="s">
        <v>85</v>
      </c>
      <c r="C18" s="7" t="s">
        <v>193</v>
      </c>
      <c r="D18" s="7">
        <v>15.0</v>
      </c>
      <c r="E18" s="7">
        <v>18.0</v>
      </c>
      <c r="F18" s="7">
        <v>1.9</v>
      </c>
      <c r="G18" s="7" t="s">
        <v>87</v>
      </c>
      <c r="H18" s="7" t="s">
        <v>194</v>
      </c>
      <c r="K18" s="13"/>
    </row>
    <row r="19">
      <c r="A19" s="7" t="s">
        <v>71</v>
      </c>
      <c r="B19" s="7" t="s">
        <v>85</v>
      </c>
      <c r="C19" s="7" t="s">
        <v>195</v>
      </c>
      <c r="D19" s="7">
        <v>18.0</v>
      </c>
      <c r="E19" s="7">
        <v>6.0</v>
      </c>
      <c r="F19" s="7">
        <v>1.0</v>
      </c>
      <c r="G19" s="7" t="s">
        <v>135</v>
      </c>
      <c r="H19" s="7" t="s">
        <v>196</v>
      </c>
      <c r="K19" s="14" t="s">
        <v>197</v>
      </c>
    </row>
    <row r="20">
      <c r="A20" s="7" t="s">
        <v>71</v>
      </c>
      <c r="B20" s="7" t="s">
        <v>142</v>
      </c>
      <c r="C20" s="7" t="s">
        <v>143</v>
      </c>
      <c r="D20" s="7">
        <v>0.0</v>
      </c>
      <c r="E20" s="7">
        <v>24.0</v>
      </c>
      <c r="F20" s="7">
        <v>1.0</v>
      </c>
      <c r="G20" s="7" t="s">
        <v>135</v>
      </c>
      <c r="H20" s="7" t="s">
        <v>198</v>
      </c>
      <c r="K20" s="13"/>
    </row>
    <row r="21">
      <c r="A21" s="7" t="s">
        <v>76</v>
      </c>
      <c r="B21" s="7" t="s">
        <v>85</v>
      </c>
      <c r="C21" s="7" t="s">
        <v>143</v>
      </c>
      <c r="D21" s="7">
        <v>0.0</v>
      </c>
      <c r="E21" s="7">
        <v>24.0</v>
      </c>
      <c r="F21" s="7">
        <v>1.0</v>
      </c>
      <c r="G21" s="7" t="s">
        <v>135</v>
      </c>
      <c r="H21" s="7" t="s">
        <v>199</v>
      </c>
      <c r="K21" s="14" t="s">
        <v>200</v>
      </c>
    </row>
    <row r="22">
      <c r="A22" s="7" t="s">
        <v>76</v>
      </c>
      <c r="B22" s="7" t="s">
        <v>142</v>
      </c>
      <c r="C22" s="7" t="s">
        <v>201</v>
      </c>
      <c r="D22" s="7">
        <v>8.0</v>
      </c>
      <c r="E22" s="7">
        <v>17.0</v>
      </c>
      <c r="F22" s="7">
        <v>1.3</v>
      </c>
      <c r="G22" s="7" t="s">
        <v>112</v>
      </c>
      <c r="H22" s="7" t="s">
        <v>202</v>
      </c>
      <c r="K22" s="13"/>
    </row>
    <row r="23">
      <c r="A23" s="7" t="s">
        <v>76</v>
      </c>
      <c r="B23" s="7" t="s">
        <v>142</v>
      </c>
      <c r="C23" s="7" t="s">
        <v>203</v>
      </c>
      <c r="D23" s="7">
        <v>17.0</v>
      </c>
      <c r="E23" s="7">
        <v>8.0</v>
      </c>
      <c r="F23" s="7">
        <v>1.0</v>
      </c>
      <c r="G23" s="7" t="s">
        <v>135</v>
      </c>
      <c r="H23" s="7" t="s">
        <v>204</v>
      </c>
      <c r="K23" s="14" t="s">
        <v>205</v>
      </c>
    </row>
    <row r="24">
      <c r="A24" s="7" t="s">
        <v>82</v>
      </c>
      <c r="B24" s="7" t="s">
        <v>85</v>
      </c>
      <c r="C24" s="7" t="s">
        <v>206</v>
      </c>
      <c r="D24" s="7">
        <v>6.0</v>
      </c>
      <c r="E24" s="7">
        <v>18.0</v>
      </c>
      <c r="F24" s="7">
        <v>1.2</v>
      </c>
      <c r="G24" s="7" t="s">
        <v>112</v>
      </c>
      <c r="H24" s="7" t="s">
        <v>207</v>
      </c>
      <c r="K24" s="13"/>
    </row>
    <row r="25">
      <c r="A25" s="7" t="s">
        <v>82</v>
      </c>
      <c r="B25" s="7" t="s">
        <v>85</v>
      </c>
      <c r="C25" s="7" t="s">
        <v>195</v>
      </c>
      <c r="D25" s="7">
        <v>18.0</v>
      </c>
      <c r="E25" s="7">
        <v>6.0</v>
      </c>
      <c r="F25" s="7">
        <v>1.0</v>
      </c>
      <c r="G25" s="7" t="s">
        <v>135</v>
      </c>
      <c r="H25" s="7" t="s">
        <v>208</v>
      </c>
      <c r="K25" s="14" t="s">
        <v>209</v>
      </c>
    </row>
    <row r="26">
      <c r="A26" s="7" t="s">
        <v>82</v>
      </c>
      <c r="B26" s="7" t="s">
        <v>142</v>
      </c>
      <c r="C26" s="7" t="s">
        <v>143</v>
      </c>
      <c r="D26" s="7">
        <v>0.0</v>
      </c>
      <c r="E26" s="7">
        <v>24.0</v>
      </c>
      <c r="F26" s="7">
        <v>1.15</v>
      </c>
      <c r="G26" s="7" t="s">
        <v>135</v>
      </c>
      <c r="H26" s="7" t="s">
        <v>210</v>
      </c>
      <c r="K26" s="13"/>
    </row>
    <row r="27">
      <c r="K27" s="14" t="s">
        <v>211</v>
      </c>
    </row>
    <row r="28">
      <c r="K28" s="13"/>
    </row>
    <row r="29">
      <c r="K29" s="14" t="s">
        <v>212</v>
      </c>
    </row>
    <row r="30">
      <c r="K30" s="13"/>
    </row>
    <row r="31">
      <c r="K31" s="14" t="s">
        <v>213</v>
      </c>
    </row>
    <row r="32">
      <c r="K32" s="13"/>
    </row>
    <row r="33">
      <c r="K33" s="14" t="s">
        <v>214</v>
      </c>
    </row>
    <row r="34">
      <c r="K34" s="13"/>
    </row>
    <row r="35">
      <c r="K35" s="14" t="s">
        <v>215</v>
      </c>
    </row>
    <row r="36">
      <c r="K36" s="13"/>
    </row>
    <row r="37">
      <c r="K37" s="14" t="s">
        <v>216</v>
      </c>
    </row>
    <row r="38">
      <c r="K38" s="13"/>
    </row>
    <row r="39">
      <c r="K39" s="14" t="s">
        <v>217</v>
      </c>
    </row>
    <row r="40">
      <c r="K40" s="13"/>
    </row>
    <row r="41">
      <c r="K41" s="14" t="s">
        <v>218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38"/>
    <col customWidth="1" min="3" max="3" width="22.5"/>
    <col customWidth="1" min="4" max="4" width="19.0"/>
    <col customWidth="1" min="5" max="5" width="27.38"/>
    <col customWidth="1" min="6" max="6" width="13.5"/>
    <col customWidth="1" min="7" max="7" width="10.13"/>
    <col customWidth="1" min="8" max="8" width="17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3" t="s">
        <v>11</v>
      </c>
      <c r="B2" s="3" t="s">
        <v>17</v>
      </c>
      <c r="C2" s="3" t="s">
        <v>19</v>
      </c>
      <c r="D2" s="3" t="s">
        <v>20</v>
      </c>
      <c r="E2" s="3" t="s">
        <v>23</v>
      </c>
      <c r="F2" s="4">
        <v>0.7083333333333334</v>
      </c>
      <c r="G2" s="4">
        <v>0.625</v>
      </c>
      <c r="H2" s="3">
        <v>5.0</v>
      </c>
    </row>
    <row r="3">
      <c r="A3" s="3" t="s">
        <v>11</v>
      </c>
      <c r="B3" s="3" t="s">
        <v>17</v>
      </c>
      <c r="C3" s="3" t="s">
        <v>19</v>
      </c>
      <c r="D3" s="3" t="s">
        <v>20</v>
      </c>
      <c r="E3" s="3" t="s">
        <v>23</v>
      </c>
      <c r="F3" s="4">
        <v>0.875</v>
      </c>
      <c r="G3" s="4">
        <v>0.7916666666666666</v>
      </c>
      <c r="H3" s="3">
        <v>5.0</v>
      </c>
    </row>
    <row r="4">
      <c r="A4" s="3" t="s">
        <v>47</v>
      </c>
      <c r="B4" s="3" t="s">
        <v>50</v>
      </c>
      <c r="C4" s="3" t="s">
        <v>52</v>
      </c>
      <c r="D4" s="3" t="s">
        <v>20</v>
      </c>
      <c r="E4" s="3" t="s">
        <v>53</v>
      </c>
      <c r="F4" s="4">
        <v>0.25</v>
      </c>
      <c r="G4" s="4">
        <v>0.22916666666666666</v>
      </c>
      <c r="H4" s="3">
        <v>0.5</v>
      </c>
    </row>
    <row r="5">
      <c r="A5" s="3" t="s">
        <v>47</v>
      </c>
      <c r="B5" s="3" t="s">
        <v>50</v>
      </c>
      <c r="C5" s="3" t="s">
        <v>52</v>
      </c>
      <c r="D5" s="3" t="s">
        <v>20</v>
      </c>
      <c r="E5" s="3" t="s">
        <v>53</v>
      </c>
      <c r="F5" s="4">
        <v>0.3055555555555556</v>
      </c>
      <c r="G5" s="4">
        <v>0.2847222222222222</v>
      </c>
      <c r="H5" s="3">
        <v>0.5</v>
      </c>
    </row>
    <row r="6">
      <c r="A6" s="3" t="s">
        <v>47</v>
      </c>
      <c r="B6" s="3" t="s">
        <v>50</v>
      </c>
      <c r="C6" s="3" t="s">
        <v>52</v>
      </c>
      <c r="D6" s="3" t="s">
        <v>20</v>
      </c>
      <c r="E6" s="3" t="s">
        <v>53</v>
      </c>
      <c r="F6" s="4">
        <v>0.3472222222222222</v>
      </c>
      <c r="G6" s="4">
        <v>0.3263888888888889</v>
      </c>
      <c r="H6" s="3">
        <v>0.5</v>
      </c>
    </row>
    <row r="7">
      <c r="A7" s="3" t="s">
        <v>47</v>
      </c>
      <c r="B7" s="3" t="s">
        <v>50</v>
      </c>
      <c r="C7" s="3" t="s">
        <v>52</v>
      </c>
      <c r="D7" s="3" t="s">
        <v>20</v>
      </c>
      <c r="E7" s="3" t="s">
        <v>53</v>
      </c>
      <c r="F7" s="4">
        <v>0.4097222222222222</v>
      </c>
      <c r="G7" s="4">
        <v>0.3888888888888889</v>
      </c>
      <c r="H7" s="3">
        <v>0.5</v>
      </c>
      <c r="I7" s="6" t="s">
        <v>78</v>
      </c>
    </row>
    <row r="8">
      <c r="A8" s="3" t="s">
        <v>47</v>
      </c>
      <c r="B8" s="3" t="s">
        <v>50</v>
      </c>
      <c r="C8" s="3" t="s">
        <v>52</v>
      </c>
      <c r="D8" s="3" t="s">
        <v>20</v>
      </c>
      <c r="E8" s="3" t="s">
        <v>53</v>
      </c>
      <c r="F8" s="4">
        <v>0.4791666666666667</v>
      </c>
      <c r="G8" s="4">
        <v>0.4583333333333333</v>
      </c>
      <c r="H8" s="3">
        <v>0.5</v>
      </c>
    </row>
    <row r="9">
      <c r="A9" s="3" t="s">
        <v>47</v>
      </c>
      <c r="B9" s="3" t="s">
        <v>50</v>
      </c>
      <c r="C9" s="3" t="s">
        <v>52</v>
      </c>
      <c r="D9" s="3" t="s">
        <v>20</v>
      </c>
      <c r="E9" s="3" t="s">
        <v>53</v>
      </c>
      <c r="F9" s="4">
        <v>0.5347222222222222</v>
      </c>
      <c r="G9" s="4">
        <v>0.5138888888888888</v>
      </c>
      <c r="H9" s="3">
        <v>0.5</v>
      </c>
    </row>
    <row r="10">
      <c r="A10" s="3" t="s">
        <v>47</v>
      </c>
      <c r="B10" s="3" t="s">
        <v>50</v>
      </c>
      <c r="C10" s="3" t="s">
        <v>52</v>
      </c>
      <c r="D10" s="3" t="s">
        <v>20</v>
      </c>
      <c r="E10" s="3" t="s">
        <v>53</v>
      </c>
      <c r="F10" s="4">
        <v>0.5902777777777778</v>
      </c>
      <c r="G10" s="4">
        <v>0.5694444444444444</v>
      </c>
      <c r="H10" s="3">
        <v>0.5</v>
      </c>
    </row>
    <row r="11">
      <c r="A11" s="3" t="s">
        <v>47</v>
      </c>
      <c r="B11" s="3" t="s">
        <v>50</v>
      </c>
      <c r="C11" s="3" t="s">
        <v>52</v>
      </c>
      <c r="D11" s="3" t="s">
        <v>94</v>
      </c>
      <c r="E11" s="3" t="s">
        <v>53</v>
      </c>
      <c r="F11" s="4">
        <v>0.6388888888888888</v>
      </c>
      <c r="G11" s="4">
        <v>0.6180555555555556</v>
      </c>
      <c r="H11" s="3">
        <v>0.5</v>
      </c>
    </row>
    <row r="12">
      <c r="A12" s="3" t="s">
        <v>47</v>
      </c>
      <c r="B12" s="3" t="s">
        <v>50</v>
      </c>
      <c r="C12" s="3" t="s">
        <v>52</v>
      </c>
      <c r="D12" s="3" t="s">
        <v>20</v>
      </c>
      <c r="E12" s="3" t="s">
        <v>53</v>
      </c>
      <c r="F12" s="4">
        <v>0.6875</v>
      </c>
      <c r="G12" s="4">
        <v>0.6666666666666666</v>
      </c>
      <c r="H12" s="3">
        <v>0.5</v>
      </c>
    </row>
    <row r="13">
      <c r="A13" s="3" t="s">
        <v>47</v>
      </c>
      <c r="B13" s="3" t="s">
        <v>50</v>
      </c>
      <c r="C13" s="3" t="s">
        <v>52</v>
      </c>
      <c r="D13" s="3" t="s">
        <v>20</v>
      </c>
      <c r="E13" s="3" t="s">
        <v>53</v>
      </c>
      <c r="F13" s="4">
        <v>0.7708333333333334</v>
      </c>
      <c r="G13" s="4">
        <v>0.75</v>
      </c>
      <c r="H13" s="3">
        <v>0.5</v>
      </c>
    </row>
    <row r="14">
      <c r="A14" s="3" t="s">
        <v>47</v>
      </c>
      <c r="B14" s="3" t="s">
        <v>50</v>
      </c>
      <c r="C14" s="3" t="s">
        <v>52</v>
      </c>
      <c r="D14" s="3" t="s">
        <v>20</v>
      </c>
      <c r="E14" s="3" t="s">
        <v>53</v>
      </c>
      <c r="F14" s="4">
        <v>0.8541666666666666</v>
      </c>
      <c r="G14" s="4">
        <v>0.8333333333333334</v>
      </c>
      <c r="H14" s="3">
        <v>0.5</v>
      </c>
    </row>
    <row r="15">
      <c r="A15" s="3" t="s">
        <v>96</v>
      </c>
      <c r="B15" s="3" t="s">
        <v>97</v>
      </c>
      <c r="C15" s="3" t="s">
        <v>98</v>
      </c>
      <c r="D15" s="3" t="s">
        <v>20</v>
      </c>
      <c r="E15" s="3" t="s">
        <v>53</v>
      </c>
      <c r="F15" s="4">
        <v>0.25</v>
      </c>
      <c r="G15" s="4">
        <v>0.22916666666666666</v>
      </c>
      <c r="H15" s="3">
        <v>0.5</v>
      </c>
    </row>
    <row r="16">
      <c r="A16" s="3" t="s">
        <v>96</v>
      </c>
      <c r="B16" s="3" t="s">
        <v>97</v>
      </c>
      <c r="C16" s="3" t="s">
        <v>98</v>
      </c>
      <c r="D16" s="3" t="s">
        <v>20</v>
      </c>
      <c r="E16" s="3" t="s">
        <v>53</v>
      </c>
      <c r="F16" s="4">
        <v>0.2916666666666667</v>
      </c>
      <c r="G16" s="4">
        <v>0.2708333333333333</v>
      </c>
      <c r="H16" s="3">
        <v>0.5</v>
      </c>
    </row>
    <row r="17">
      <c r="A17" s="3" t="s">
        <v>96</v>
      </c>
      <c r="B17" s="3" t="s">
        <v>97</v>
      </c>
      <c r="C17" s="3" t="s">
        <v>98</v>
      </c>
      <c r="D17" s="3" t="s">
        <v>20</v>
      </c>
      <c r="E17" s="3" t="s">
        <v>53</v>
      </c>
      <c r="F17" s="4">
        <v>0.3541666666666667</v>
      </c>
      <c r="G17" s="4">
        <v>0.3333333333333333</v>
      </c>
      <c r="H17" s="3">
        <v>0.5</v>
      </c>
    </row>
    <row r="18">
      <c r="A18" s="3" t="s">
        <v>96</v>
      </c>
      <c r="B18" s="3" t="s">
        <v>97</v>
      </c>
      <c r="C18" s="3" t="s">
        <v>98</v>
      </c>
      <c r="D18" s="3" t="s">
        <v>20</v>
      </c>
      <c r="E18" s="3" t="s">
        <v>53</v>
      </c>
      <c r="F18" s="4">
        <v>0.4722222222222222</v>
      </c>
      <c r="G18" s="4">
        <v>0.4513888888888889</v>
      </c>
      <c r="H18" s="3">
        <v>0.5</v>
      </c>
    </row>
    <row r="19">
      <c r="A19" s="3" t="s">
        <v>96</v>
      </c>
      <c r="B19" s="3" t="s">
        <v>97</v>
      </c>
      <c r="C19" s="3" t="s">
        <v>98</v>
      </c>
      <c r="D19" s="3" t="s">
        <v>20</v>
      </c>
      <c r="E19" s="3" t="s">
        <v>53</v>
      </c>
      <c r="F19" s="4">
        <v>0.5486111111111112</v>
      </c>
      <c r="G19" s="4">
        <v>0.5277777777777778</v>
      </c>
      <c r="H19" s="3">
        <v>0.5</v>
      </c>
    </row>
    <row r="20">
      <c r="A20" s="3" t="s">
        <v>96</v>
      </c>
      <c r="B20" s="3" t="s">
        <v>97</v>
      </c>
      <c r="C20" s="3" t="s">
        <v>98</v>
      </c>
      <c r="D20" s="3" t="s">
        <v>20</v>
      </c>
      <c r="E20" s="3" t="s">
        <v>53</v>
      </c>
      <c r="F20" s="4">
        <v>0.6388888888888888</v>
      </c>
      <c r="G20" s="4">
        <v>0.6180555555555556</v>
      </c>
      <c r="H20" s="3">
        <v>0.5</v>
      </c>
    </row>
    <row r="21">
      <c r="A21" s="3" t="s">
        <v>96</v>
      </c>
      <c r="B21" s="3" t="s">
        <v>97</v>
      </c>
      <c r="C21" s="3" t="s">
        <v>98</v>
      </c>
      <c r="D21" s="3" t="s">
        <v>20</v>
      </c>
      <c r="E21" s="3" t="s">
        <v>53</v>
      </c>
      <c r="F21" s="4">
        <v>0.7361111111111112</v>
      </c>
      <c r="G21" s="4">
        <v>0.7152777777777778</v>
      </c>
      <c r="H21" s="3">
        <v>0.5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0.0"/>
    <col customWidth="1" min="3" max="3" width="64.63"/>
    <col customWidth="1" min="4" max="4" width="47.88"/>
    <col customWidth="1" min="5" max="5" width="71.88"/>
    <col customWidth="1" min="6" max="6" width="74.88"/>
  </cols>
  <sheetData>
    <row r="1">
      <c r="A1" s="1" t="s">
        <v>2</v>
      </c>
      <c r="B1" s="1" t="s">
        <v>16</v>
      </c>
      <c r="C1" s="1" t="s">
        <v>22</v>
      </c>
      <c r="D1" s="1" t="s">
        <v>24</v>
      </c>
      <c r="E1" s="1" t="s">
        <v>26</v>
      </c>
      <c r="F1" s="1" t="s">
        <v>28</v>
      </c>
    </row>
    <row r="2">
      <c r="A2" s="3" t="s">
        <v>36</v>
      </c>
      <c r="B2" s="3" t="s">
        <v>39</v>
      </c>
      <c r="C2" s="3" t="s">
        <v>41</v>
      </c>
      <c r="D2" s="3" t="s">
        <v>44</v>
      </c>
      <c r="E2" s="3" t="s">
        <v>49</v>
      </c>
      <c r="F2" s="8" t="s">
        <v>63</v>
      </c>
    </row>
    <row r="3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  <c r="F3" s="10" t="s">
        <v>104</v>
      </c>
    </row>
    <row r="4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8" t="s">
        <v>110</v>
      </c>
    </row>
    <row r="5">
      <c r="A5" s="3" t="s">
        <v>121</v>
      </c>
      <c r="B5" s="3" t="s">
        <v>122</v>
      </c>
      <c r="C5" s="3" t="s">
        <v>125</v>
      </c>
      <c r="D5" s="3" t="s">
        <v>127</v>
      </c>
      <c r="E5" s="3" t="s">
        <v>130</v>
      </c>
      <c r="F5" s="8" t="s">
        <v>133</v>
      </c>
    </row>
    <row r="6">
      <c r="A6" s="3" t="s">
        <v>151</v>
      </c>
      <c r="B6" s="3" t="s">
        <v>138</v>
      </c>
      <c r="C6" s="3" t="s">
        <v>152</v>
      </c>
      <c r="D6" s="3" t="s">
        <v>153</v>
      </c>
      <c r="E6" s="3" t="s">
        <v>155</v>
      </c>
      <c r="F6" s="8" t="s">
        <v>156</v>
      </c>
    </row>
    <row r="7">
      <c r="A7" s="3" t="s">
        <v>178</v>
      </c>
      <c r="B7" s="3" t="s">
        <v>179</v>
      </c>
      <c r="C7" s="3" t="s">
        <v>180</v>
      </c>
      <c r="D7" s="3" t="s">
        <v>181</v>
      </c>
      <c r="E7" s="3" t="s">
        <v>182</v>
      </c>
      <c r="F7" s="8" t="s">
        <v>183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